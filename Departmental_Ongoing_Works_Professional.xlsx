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mil.baig\Desktop\"/>
    </mc:Choice>
  </mc:AlternateContent>
  <bookViews>
    <workbookView xWindow="0" yWindow="0" windowWidth="20400" windowHeight="7470" activeTab="1"/>
  </bookViews>
  <sheets>
    <sheet name="Executive Summary" sheetId="1" r:id="rId1"/>
    <sheet name="Fiber Bleaching" sheetId="2" r:id="rId2"/>
    <sheet name="R-Cot Line" sheetId="3" r:id="rId3"/>
    <sheet name="Spunlace Project" sheetId="4" r:id="rId4"/>
  </sheets>
  <calcPr calcId="162913"/>
</workbook>
</file>

<file path=xl/calcChain.xml><?xml version="1.0" encoding="utf-8"?>
<calcChain xmlns="http://schemas.openxmlformats.org/spreadsheetml/2006/main">
  <c r="F6" i="1" l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G6" i="1" l="1"/>
  <c r="G4" i="1"/>
  <c r="B7" i="1"/>
  <c r="E7" i="1"/>
  <c r="F7" i="1"/>
  <c r="G5" i="1"/>
  <c r="D7" i="1"/>
  <c r="C7" i="1"/>
  <c r="G7" i="1" l="1"/>
</calcChain>
</file>

<file path=xl/sharedStrings.xml><?xml version="1.0" encoding="utf-8"?>
<sst xmlns="http://schemas.openxmlformats.org/spreadsheetml/2006/main" count="163" uniqueCount="115">
  <si>
    <t>ENGINEERING &amp; MAINTENANCE DEPARTMENT — ONGOING WORKS SUMMARY</t>
  </si>
  <si>
    <t>Executive Project Status Dashboard  |  Automated Status Consolidation</t>
  </si>
  <si>
    <t>Department / Project Line</t>
  </si>
  <si>
    <t>Total Tasks</t>
  </si>
  <si>
    <t>Completed</t>
  </si>
  <si>
    <t>In Progress</t>
  </si>
  <si>
    <t>Under Review</t>
  </si>
  <si>
    <t>Pending / Scheduled</t>
  </si>
  <si>
    <t>% Completed</t>
  </si>
  <si>
    <t>Fiber Bleaching Line</t>
  </si>
  <si>
    <t>R-Cot Department</t>
  </si>
  <si>
    <t>Spunlace Project</t>
  </si>
  <si>
    <t>TOTAL DEPARTMENTAL TASKS</t>
  </si>
  <si>
    <t>STATUS COLOR CODE &amp; WORKFLOW DEFINITION</t>
  </si>
  <si>
    <t>Task fully executed, approved, or officially established.</t>
  </si>
  <si>
    <t>Currently active (drawings, fabrication, quotation review, or civil execution).</t>
  </si>
  <si>
    <t>Scheduled</t>
  </si>
  <si>
    <t>Confirmed upcoming milestone or stakeholder meeting scheduled.</t>
  </si>
  <si>
    <t>Awaiting management review, feasibility sign-off, or budget approval.</t>
  </si>
  <si>
    <t>Pending</t>
  </si>
  <si>
    <t>Awaiting prerequisites, shutdown schedule, or formal Purchase Order issuance.</t>
  </si>
  <si>
    <t>FIBER BLEACHING CAPACITY EXTENSION (TARGET: 1,500 TONS)</t>
  </si>
  <si>
    <t>Departmental Ongoing Engineering &amp; Maintenance Works Tracker  |  Dept Ref: DEPT-FB-1500  |  Status as of: October 2026</t>
  </si>
  <si>
    <t>Sr. #</t>
  </si>
  <si>
    <t>Focus Area / Machine</t>
  </si>
  <si>
    <t>Scope of Work / Action Item</t>
  </si>
  <si>
    <t>Current Status</t>
  </si>
  <si>
    <t>Action Owner / Department</t>
  </si>
  <si>
    <t>Key Technical Remarks &amp; Next Steps</t>
  </si>
  <si>
    <t>Pre-Blowroom Modification</t>
  </si>
  <si>
    <t>Piping &amp; ducting fabrication and line routing</t>
  </si>
  <si>
    <t>Mechanical Maintenance</t>
  </si>
  <si>
    <t>Work not initiated; pending line layout finalization and approved drawings.</t>
  </si>
  <si>
    <t>Procurement of transport fan and material distributor</t>
  </si>
  <si>
    <t>Procurement / Maintenance</t>
  </si>
  <si>
    <t>Technical drawings shared; detailed review completed with Mr. Riyaz &amp; engineering team.</t>
  </si>
  <si>
    <t>Post-Blowroom Modification</t>
  </si>
  <si>
    <t>Piping &amp; ducting fabrication and rerouting</t>
  </si>
  <si>
    <t>Scope of work defined; execution planned during the next scheduled plant shutdown.</t>
  </si>
  <si>
    <t>Procurement</t>
  </si>
  <si>
    <t>Equipment specifications verified; Purchase Requisition (PR) to be released.</t>
  </si>
  <si>
    <t>Dryer Unit Modification</t>
  </si>
  <si>
    <t>Dryer overhaul &amp; procurement of additional chamber</t>
  </si>
  <si>
    <t>Project Engineering</t>
  </si>
  <si>
    <t>Evaluating necessary component specifications and procurement in progress with Galvano.</t>
  </si>
  <si>
    <t>Post Line 2 Extension</t>
  </si>
  <si>
    <t>Procurement &amp; integration of new Multi-Mixer unit</t>
  </si>
  <si>
    <t>Top Management / Maintenance</t>
  </si>
  <si>
    <t>Under active internal technical and Capex evaluation for line expansion.</t>
  </si>
  <si>
    <t>R-COT DEPARTMENT UPGRADES &amp; INSTALLATIONS</t>
  </si>
  <si>
    <t>Departmental Ongoing Engineering &amp; Maintenance Works Tracker  |  Dept Ref: DEPT-RCOT-01  |  Status as of: October 2026</t>
  </si>
  <si>
    <t>Equipment / System</t>
  </si>
  <si>
    <t>Bale Press</t>
  </si>
  <si>
    <t>Procurement of new hydraulic bale press unit</t>
  </si>
  <si>
    <t>Commercial quotations received from vendors; currently under technical &amp; pricing evaluation.</t>
  </si>
  <si>
    <t>Automatic Bale Plucker</t>
  </si>
  <si>
    <t>Procurement of new automatic bale plucker</t>
  </si>
  <si>
    <t>Technical specifications finalized; awaiting vendor bid comparisons.</t>
  </si>
  <si>
    <t>Argus Fire Detection</t>
  </si>
  <si>
    <t>Procurement &amp; integration of spark/fire detectors</t>
  </si>
  <si>
    <t>EHS / Maintenance</t>
  </si>
  <si>
    <t>Safety Capex evaluation initiated to integrate with existing blowroom safety loop.</t>
  </si>
  <si>
    <t>Filtration System</t>
  </si>
  <si>
    <t>Installation and duct hookup of new filter unit</t>
  </si>
  <si>
    <t>Purchase / Mechanical</t>
  </si>
  <si>
    <t>E-CAPEX approved; purchase order execution currently in Purchase Department.</t>
  </si>
  <si>
    <t>Ducting &amp; Piping Works</t>
  </si>
  <si>
    <t>Pneumatic transport &amp; exhaust ducting fabrication</t>
  </si>
  <si>
    <t>Mechanical / Fabrication</t>
  </si>
  <si>
    <t>E-CAPEX approved; material indentation in progress with local fabrication team.</t>
  </si>
  <si>
    <t>Power Infrastructure</t>
  </si>
  <si>
    <t>Main incoming &amp; motor feeder cable procurement</t>
  </si>
  <si>
    <t>Electrical Maintenance</t>
  </si>
  <si>
    <t>E-CAPEX approved; cable schedule prepared, procurement approval in progress.</t>
  </si>
  <si>
    <t>Overhead cable tray installation and routing</t>
  </si>
  <si>
    <t>Purchase Request (PR) officially submitted to Purchase Department.</t>
  </si>
  <si>
    <t>Machine Automation</t>
  </si>
  <si>
    <t>PLC programming, drive configuration &amp; commissioning</t>
  </si>
  <si>
    <t>Automation / Electrical</t>
  </si>
  <si>
    <t>Scheduled immediately following machine mechanical erection and electrical power-up.</t>
  </si>
  <si>
    <t>SPUNLACE PRODUCTION LINE PROJECT</t>
  </si>
  <si>
    <t>Departmental Ongoing Engineering &amp; Maintenance Works Tracker  |  Dept Ref: PRJ-SPUNLACE-01  |  Status as of: October 2026</t>
  </si>
  <si>
    <t>Project Deliverable / Area</t>
  </si>
  <si>
    <t>Spunlace Production Line 1</t>
  </si>
  <si>
    <t>E-CAPEX approval workflow</t>
  </si>
  <si>
    <t>Finance / Management</t>
  </si>
  <si>
    <t>E-CAPEX officially authorized and approved.</t>
  </si>
  <si>
    <t>Letter of Credit (LC) opening &amp; transmission</t>
  </si>
  <si>
    <t>Commercial / Banking</t>
  </si>
  <si>
    <t>LC established and in transit with foreign machinery manufacturers.</t>
  </si>
  <si>
    <t>Machine code &amp; ERP asset registration</t>
  </si>
  <si>
    <t>IT / Finance / Maintenance</t>
  </si>
  <si>
    <t>New machine codes opened and configured in management system.</t>
  </si>
  <si>
    <t>Purchase Order (PO) issuance</t>
  </si>
  <si>
    <t>Technical Due Diligence</t>
  </si>
  <si>
    <t>Trützschler engineering checklist submission</t>
  </si>
  <si>
    <t>Engineering / Maintenance</t>
  </si>
  <si>
    <t>Consultancy &amp; Design</t>
  </si>
  <si>
    <t>Coordination meeting with FND consultants</t>
  </si>
  <si>
    <t>Project Management</t>
  </si>
  <si>
    <t>Technical alignment session scheduled for tomorrow to finalize civil &amp; electrical scopes.</t>
  </si>
  <si>
    <t>Civil / Site Preparation</t>
  </si>
  <si>
    <t>Inly Yard Job Request Form (JRF) submission</t>
  </si>
  <si>
    <t>Civil / Maintenance</t>
  </si>
  <si>
    <t>Civil Job Request Form (JRF) being finalized for ground preparation.</t>
  </si>
  <si>
    <t>Raw Material Warehouse JRF execution</t>
  </si>
  <si>
    <t>Civil Engineering</t>
  </si>
  <si>
    <t>JRF active and in progress (floor elevation +2'-0" and roof waterproofing works).</t>
  </si>
  <si>
    <t>Spunlace Production Line 2</t>
  </si>
  <si>
    <t>Project feasibility and Capex justification</t>
  </si>
  <si>
    <t>Top Management</t>
  </si>
  <si>
    <t>Long-term capacity expansion proposal under strategic discussion with Top Management.</t>
  </si>
  <si>
    <t xml:space="preserve">Cable try work </t>
  </si>
  <si>
    <t xml:space="preserve">Draft PO under commercial terms review; </t>
  </si>
  <si>
    <t>Checklist to be formally finalized to Trützschler following final inputs from FND.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</si>
</sst>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0">
    <font>
      <sz val="11"/>
      <color theme="1"/>
      <name val="Calibri"/>
      <family val="2"/>
      <scheme val="minor"/>
    </font>
    <font>
      <b/>
      <sz val="13"/>
      <color rgb="FFFFFFFF"/>
      <name val="Segoe UI"/>
    </font>
    <font>
      <i/>
      <sz val="9"/>
      <color rgb="FFFFFFFF"/>
      <name val="Segoe UI"/>
    </font>
    <font>
      <b/>
      <sz val="10"/>
      <color rgb="FFFFFFFF"/>
      <name val="Segoe UI"/>
    </font>
    <font>
      <sz val="9.5"/>
      <name val="Segoe UI"/>
    </font>
    <font>
      <b/>
      <sz val="9.5"/>
      <color rgb="FF721C24"/>
      <name val="Segoe UI"/>
    </font>
    <font>
      <b/>
      <sz val="9.5"/>
      <color rgb="FF004085"/>
      <name val="Segoe UI"/>
    </font>
    <font>
      <b/>
      <sz val="9.5"/>
      <color rgb="FF383D41"/>
      <name val="Segoe UI"/>
    </font>
    <font>
      <b/>
      <sz val="9.5"/>
      <color rgb="FF155724"/>
      <name val="Segoe UI"/>
    </font>
    <font>
      <b/>
      <sz val="9.5"/>
      <color rgb="FF856404"/>
      <name val="Segoe UI"/>
    </font>
    <font>
      <b/>
      <sz val="14"/>
      <color rgb="FFFFFFFF"/>
      <name val="Segoe UI"/>
    </font>
    <font>
      <i/>
      <sz val="9.5"/>
      <color rgb="FFFFFFFF"/>
      <name val="Segoe UI"/>
    </font>
    <font>
      <b/>
      <sz val="10"/>
      <name val="Segoe UI"/>
    </font>
    <font>
      <b/>
      <sz val="9.5"/>
      <color rgb="FF1B365D"/>
      <name val="Segoe UI"/>
    </font>
    <font>
      <b/>
      <sz val="9"/>
      <color rgb="FF155724"/>
      <name val="Segoe UI"/>
    </font>
    <font>
      <i/>
      <sz val="9"/>
      <name val="Segoe UI"/>
    </font>
    <font>
      <b/>
      <sz val="9"/>
      <color rgb="FF004085"/>
      <name val="Segoe UI"/>
    </font>
    <font>
      <b/>
      <sz val="9"/>
      <color rgb="FF856404"/>
      <name val="Segoe UI"/>
    </font>
    <font>
      <b/>
      <sz val="9"/>
      <color rgb="FF383D41"/>
      <name val="Segoe UI"/>
    </font>
    <font>
      <b/>
      <sz val="9"/>
      <color rgb="FF721C24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C4D75"/>
        <bgColor rgb="FF2C4D75"/>
      </patternFill>
    </fill>
    <fill>
      <patternFill patternType="solid">
        <fgColor rgb="FF4A6572"/>
        <bgColor rgb="FF4A6572"/>
      </patternFill>
    </fill>
    <fill>
      <patternFill patternType="solid">
        <fgColor rgb="FFF8D7DA"/>
        <bgColor rgb="FFF8D7DA"/>
      </patternFill>
    </fill>
    <fill>
      <patternFill patternType="solid">
        <fgColor rgb="FFF8F9FA"/>
        <bgColor rgb="FFF8F9FA"/>
      </patternFill>
    </fill>
    <fill>
      <patternFill patternType="solid">
        <fgColor rgb="FFCCE5FF"/>
        <bgColor rgb="FFCCE5FF"/>
      </patternFill>
    </fill>
    <fill>
      <patternFill patternType="solid">
        <fgColor rgb="FFE2E3E5"/>
        <bgColor rgb="FFE2E3E5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EAEEF3"/>
        <bgColor rgb="FFEAEEF3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medium">
        <color rgb="FF1B365D"/>
      </top>
      <bottom style="medium">
        <color rgb="FF1B365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double">
        <color rgb="FF1B365D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12" fillId="11" borderId="3" xfId="0" applyFont="1" applyFill="1" applyBorder="1"/>
    <xf numFmtId="0" fontId="12" fillId="11" borderId="3" xfId="0" applyFont="1" applyFill="1" applyBorder="1" applyAlignment="1">
      <alignment horizontal="center" vertical="center"/>
    </xf>
    <xf numFmtId="164" fontId="12" fillId="11" borderId="3" xfId="0" applyNumberFormat="1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horizontal="center" vertical="center"/>
    </xf>
    <xf numFmtId="0" fontId="16" fillId="7" borderId="2" xfId="0" applyFont="1" applyFill="1" applyBorder="1" applyAlignment="1">
      <alignment horizontal="center" vertical="center"/>
    </xf>
    <xf numFmtId="0" fontId="17" fillId="10" borderId="2" xfId="0" applyFont="1" applyFill="1" applyBorder="1" applyAlignment="1">
      <alignment horizontal="center" vertical="center"/>
    </xf>
    <xf numFmtId="0" fontId="18" fillId="8" borderId="2" xfId="0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0" fillId="0" borderId="0" xfId="0"/>
    <xf numFmtId="0" fontId="15" fillId="0" borderId="2" xfId="0" applyFont="1" applyBorder="1" applyAlignment="1">
      <alignment horizontal="left" vertical="center"/>
    </xf>
    <xf numFmtId="0" fontId="0" fillId="0" borderId="2" xfId="0" applyBorder="1"/>
    <xf numFmtId="0" fontId="11" fillId="3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selection activeCell="A3" sqref="A3:XFD3"/>
    </sheetView>
  </sheetViews>
  <sheetFormatPr defaultRowHeight="15"/>
  <cols>
    <col min="1" max="1" width="28" customWidth="1"/>
    <col min="2" max="5" width="14" customWidth="1"/>
    <col min="6" max="6" width="20" customWidth="1"/>
    <col min="7" max="7" width="16" customWidth="1"/>
  </cols>
  <sheetData>
    <row r="1" spans="1:7" ht="32.1" customHeight="1">
      <c r="A1" s="24" t="s">
        <v>0</v>
      </c>
      <c r="B1" s="25"/>
      <c r="C1" s="25"/>
      <c r="D1" s="25"/>
      <c r="E1" s="25"/>
      <c r="F1" s="25"/>
      <c r="G1" s="25"/>
    </row>
    <row r="2" spans="1:7" ht="20.100000000000001" customHeight="1">
      <c r="A2" s="28" t="s">
        <v>1</v>
      </c>
      <c r="B2" s="25"/>
      <c r="C2" s="25"/>
      <c r="D2" s="25"/>
      <c r="E2" s="25"/>
      <c r="F2" s="25"/>
      <c r="G2" s="25"/>
    </row>
    <row r="3" spans="1:7" ht="24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21.95" customHeight="1">
      <c r="A4" s="2" t="s">
        <v>9</v>
      </c>
      <c r="B4" s="3">
        <f>COUNTA('Fiber Bleaching'!D4:D9)</f>
        <v>6</v>
      </c>
      <c r="C4" s="3">
        <f>COUNTIF('Fiber Bleaching'!D4:D9, "Completed")</f>
        <v>0</v>
      </c>
      <c r="D4" s="3">
        <f>COUNTIF('Fiber Bleaching'!D4:D9, "In Progress")</f>
        <v>0</v>
      </c>
      <c r="E4" s="3">
        <f>COUNTIF('Fiber Bleaching'!D4:D9, "Under Review")</f>
        <v>0</v>
      </c>
      <c r="F4" s="3">
        <f>COUNTIF('Fiber Bleaching'!D4:D9, "Pending") + COUNTIF('Fiber Bleaching'!D4:D9, "Scheduled")</f>
        <v>6</v>
      </c>
      <c r="G4" s="4">
        <f>C4/B4</f>
        <v>0</v>
      </c>
    </row>
    <row r="5" spans="1:7" ht="21.95" customHeight="1">
      <c r="A5" s="2" t="s">
        <v>10</v>
      </c>
      <c r="B5" s="3">
        <f>COUNTA('R-Cot Line'!D4:D11)</f>
        <v>8</v>
      </c>
      <c r="C5" s="3">
        <f>COUNTIF('R-Cot Line'!D4:D11, "Completed")</f>
        <v>0</v>
      </c>
      <c r="D5" s="3">
        <f>COUNTIF('R-Cot Line'!D4:D11, "In Progress")</f>
        <v>5</v>
      </c>
      <c r="E5" s="3">
        <f>COUNTIF('R-Cot Line'!D4:D11, "Under Review")</f>
        <v>2</v>
      </c>
      <c r="F5" s="3">
        <f>COUNTIF('R-Cot Line'!D4:D11, "Pending") + COUNTIF('R-Cot Line'!D4:D11, "Scheduled")</f>
        <v>1</v>
      </c>
      <c r="G5" s="4">
        <f>C5/B5</f>
        <v>0</v>
      </c>
    </row>
    <row r="6" spans="1:7" ht="21.95" customHeight="1">
      <c r="A6" s="2" t="s">
        <v>11</v>
      </c>
      <c r="B6" s="3">
        <f>COUNTA('Spunlace Project'!D4:D12)</f>
        <v>9</v>
      </c>
      <c r="C6" s="3">
        <f>COUNTIF('Spunlace Project'!D4:D12, "Completed")</f>
        <v>3</v>
      </c>
      <c r="D6" s="3">
        <f>COUNTIF('Spunlace Project'!D4:D12, "In Progress")</f>
        <v>2</v>
      </c>
      <c r="E6" s="3">
        <f>COUNTIF('Spunlace Project'!D4:D12, "Under Review")</f>
        <v>1</v>
      </c>
      <c r="F6" s="3">
        <f>COUNTIF('Spunlace Project'!D4:D12, "Pending") + COUNTIF('Spunlace Project'!D4:D12, "Scheduled")</f>
        <v>3</v>
      </c>
      <c r="G6" s="4">
        <f>C6/B6</f>
        <v>0.33333333333333331</v>
      </c>
    </row>
    <row r="7" spans="1:7" ht="24" customHeight="1">
      <c r="A7" s="5" t="s">
        <v>12</v>
      </c>
      <c r="B7" s="6">
        <f>SUM(B4:B6)</f>
        <v>23</v>
      </c>
      <c r="C7" s="6">
        <f>SUM(C4:C6)</f>
        <v>3</v>
      </c>
      <c r="D7" s="6">
        <f>SUM(D4:D6)</f>
        <v>7</v>
      </c>
      <c r="E7" s="6">
        <f>SUM(E4:E6)</f>
        <v>3</v>
      </c>
      <c r="F7" s="6">
        <f>SUM(F4:F6)</f>
        <v>10</v>
      </c>
      <c r="G7" s="7">
        <f>C7/B7</f>
        <v>0.13043478260869565</v>
      </c>
    </row>
    <row r="9" spans="1:7" ht="20.100000000000001" customHeight="1">
      <c r="A9" s="29" t="s">
        <v>13</v>
      </c>
      <c r="B9" s="25"/>
      <c r="C9" s="25"/>
      <c r="D9" s="25"/>
      <c r="E9" s="25"/>
      <c r="F9" s="25"/>
      <c r="G9" s="25"/>
    </row>
    <row r="10" spans="1:7" ht="20.100000000000001" customHeight="1">
      <c r="A10" s="8" t="s">
        <v>4</v>
      </c>
      <c r="B10" s="26" t="s">
        <v>14</v>
      </c>
      <c r="C10" s="27"/>
      <c r="D10" s="27"/>
      <c r="E10" s="27"/>
      <c r="F10" s="27"/>
      <c r="G10" s="27"/>
    </row>
    <row r="11" spans="1:7" ht="20.100000000000001" customHeight="1">
      <c r="A11" s="9" t="s">
        <v>5</v>
      </c>
      <c r="B11" s="26" t="s">
        <v>15</v>
      </c>
      <c r="C11" s="27"/>
      <c r="D11" s="27"/>
      <c r="E11" s="27"/>
      <c r="F11" s="27"/>
      <c r="G11" s="27"/>
    </row>
    <row r="12" spans="1:7" ht="20.100000000000001" customHeight="1">
      <c r="A12" s="10" t="s">
        <v>16</v>
      </c>
      <c r="B12" s="26" t="s">
        <v>17</v>
      </c>
      <c r="C12" s="27"/>
      <c r="D12" s="27"/>
      <c r="E12" s="27"/>
      <c r="F12" s="27"/>
      <c r="G12" s="27"/>
    </row>
    <row r="13" spans="1:7" ht="20.100000000000001" customHeight="1">
      <c r="A13" s="11" t="s">
        <v>6</v>
      </c>
      <c r="B13" s="26" t="s">
        <v>18</v>
      </c>
      <c r="C13" s="27"/>
      <c r="D13" s="27"/>
      <c r="E13" s="27"/>
      <c r="F13" s="27"/>
      <c r="G13" s="27"/>
    </row>
    <row r="14" spans="1:7" ht="20.100000000000001" customHeight="1">
      <c r="A14" s="12" t="s">
        <v>19</v>
      </c>
      <c r="B14" s="26" t="s">
        <v>20</v>
      </c>
      <c r="C14" s="27"/>
      <c r="D14" s="27"/>
      <c r="E14" s="27"/>
      <c r="F14" s="27"/>
      <c r="G14" s="27"/>
    </row>
  </sheetData>
  <mergeCells count="8">
    <mergeCell ref="B14:G14"/>
    <mergeCell ref="A9:G9"/>
    <mergeCell ref="B10:G10"/>
    <mergeCell ref="A1:G1"/>
    <mergeCell ref="B13:G13"/>
    <mergeCell ref="A2:G2"/>
    <mergeCell ref="B11:G11"/>
    <mergeCell ref="B12:G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D4" sqref="D4:D9"/>
    </sheetView>
  </sheetViews>
  <sheetFormatPr defaultRowHeight="15"/>
  <cols>
    <col min="1" max="1" width="8" customWidth="1"/>
    <col min="2" max="2" width="25.140625" bestFit="1" customWidth="1"/>
    <col min="3" max="3" width="46.85546875" bestFit="1" customWidth="1"/>
    <col min="4" max="4" width="13.7109375" bestFit="1" customWidth="1"/>
    <col min="5" max="5" width="28.85546875" bestFit="1" customWidth="1"/>
    <col min="6" max="6" width="47.7109375" bestFit="1" customWidth="1"/>
  </cols>
  <sheetData>
    <row r="1" spans="1:6" ht="30" customHeight="1">
      <c r="A1" s="31" t="s">
        <v>21</v>
      </c>
      <c r="B1" s="25"/>
      <c r="C1" s="25"/>
      <c r="D1" s="25"/>
      <c r="E1" s="25"/>
      <c r="F1" s="25"/>
    </row>
    <row r="2" spans="1:6" ht="20.100000000000001" customHeight="1">
      <c r="A2" s="30" t="s">
        <v>22</v>
      </c>
      <c r="B2" s="25"/>
      <c r="C2" s="25"/>
      <c r="D2" s="25"/>
      <c r="E2" s="25"/>
      <c r="F2" s="25"/>
    </row>
    <row r="3" spans="1:6" ht="26.1" customHeight="1">
      <c r="A3" s="13" t="s">
        <v>23</v>
      </c>
      <c r="B3" s="13" t="s">
        <v>24</v>
      </c>
      <c r="C3" s="13" t="s">
        <v>25</v>
      </c>
      <c r="D3" s="13" t="s">
        <v>26</v>
      </c>
      <c r="E3" s="13" t="s">
        <v>27</v>
      </c>
      <c r="F3" s="13" t="s">
        <v>28</v>
      </c>
    </row>
    <row r="4" spans="1:6" ht="28.5">
      <c r="A4" s="3">
        <v>1</v>
      </c>
      <c r="B4" s="14" t="s">
        <v>29</v>
      </c>
      <c r="C4" s="14" t="s">
        <v>30</v>
      </c>
      <c r="D4" s="15" t="s">
        <v>19</v>
      </c>
      <c r="E4" s="14" t="s">
        <v>31</v>
      </c>
      <c r="F4" s="16" t="s">
        <v>32</v>
      </c>
    </row>
    <row r="5" spans="1:6" ht="28.5">
      <c r="A5" s="17">
        <v>2</v>
      </c>
      <c r="B5" s="18" t="s">
        <v>29</v>
      </c>
      <c r="C5" s="18" t="s">
        <v>33</v>
      </c>
      <c r="D5" s="15" t="s">
        <v>19</v>
      </c>
      <c r="E5" s="18" t="s">
        <v>34</v>
      </c>
      <c r="F5" s="20" t="s">
        <v>35</v>
      </c>
    </row>
    <row r="6" spans="1:6" ht="28.5">
      <c r="A6" s="3">
        <v>3</v>
      </c>
      <c r="B6" s="14" t="s">
        <v>36</v>
      </c>
      <c r="C6" s="14" t="s">
        <v>37</v>
      </c>
      <c r="D6" s="15" t="s">
        <v>19</v>
      </c>
      <c r="E6" s="14" t="s">
        <v>31</v>
      </c>
      <c r="F6" s="16" t="s">
        <v>38</v>
      </c>
    </row>
    <row r="7" spans="1:6" ht="28.5">
      <c r="A7" s="17">
        <v>4</v>
      </c>
      <c r="B7" s="18" t="s">
        <v>36</v>
      </c>
      <c r="C7" s="18" t="s">
        <v>33</v>
      </c>
      <c r="D7" s="15" t="s">
        <v>19</v>
      </c>
      <c r="E7" s="18" t="s">
        <v>39</v>
      </c>
      <c r="F7" s="20" t="s">
        <v>40</v>
      </c>
    </row>
    <row r="8" spans="1:6" ht="28.5">
      <c r="A8" s="3">
        <v>5</v>
      </c>
      <c r="B8" s="14" t="s">
        <v>41</v>
      </c>
      <c r="C8" s="14" t="s">
        <v>42</v>
      </c>
      <c r="D8" s="15" t="s">
        <v>19</v>
      </c>
      <c r="E8" s="14" t="s">
        <v>43</v>
      </c>
      <c r="F8" s="16" t="s">
        <v>44</v>
      </c>
    </row>
    <row r="9" spans="1:6" ht="28.5">
      <c r="A9" s="17">
        <v>6</v>
      </c>
      <c r="B9" s="18" t="s">
        <v>45</v>
      </c>
      <c r="C9" s="18" t="s">
        <v>46</v>
      </c>
      <c r="D9" s="15" t="s">
        <v>19</v>
      </c>
      <c r="E9" s="18" t="s">
        <v>47</v>
      </c>
      <c r="F9" s="20" t="s">
        <v>48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A3" sqref="A3:XFD3"/>
    </sheetView>
  </sheetViews>
  <sheetFormatPr defaultRowHeight="15"/>
  <cols>
    <col min="1" max="1" width="8" customWidth="1"/>
    <col min="2" max="2" width="26" customWidth="1"/>
    <col min="3" max="3" width="49.140625" bestFit="1" customWidth="1"/>
    <col min="4" max="4" width="16" customWidth="1"/>
    <col min="5" max="5" width="24" customWidth="1"/>
    <col min="6" max="6" width="48" customWidth="1"/>
  </cols>
  <sheetData>
    <row r="1" spans="1:6" ht="30" customHeight="1">
      <c r="A1" s="31" t="s">
        <v>49</v>
      </c>
      <c r="B1" s="25"/>
      <c r="C1" s="25"/>
      <c r="D1" s="25"/>
      <c r="E1" s="25"/>
      <c r="F1" s="25"/>
    </row>
    <row r="2" spans="1:6" ht="20.100000000000001" customHeight="1">
      <c r="A2" s="30" t="s">
        <v>50</v>
      </c>
      <c r="B2" s="25"/>
      <c r="C2" s="25"/>
      <c r="D2" s="25"/>
      <c r="E2" s="25"/>
      <c r="F2" s="25"/>
    </row>
    <row r="3" spans="1:6" ht="26.1" customHeight="1">
      <c r="A3" s="13" t="s">
        <v>23</v>
      </c>
      <c r="B3" s="13" t="s">
        <v>51</v>
      </c>
      <c r="C3" s="13" t="s">
        <v>25</v>
      </c>
      <c r="D3" s="13" t="s">
        <v>26</v>
      </c>
      <c r="E3" s="13" t="s">
        <v>27</v>
      </c>
      <c r="F3" s="13" t="s">
        <v>28</v>
      </c>
    </row>
    <row r="4" spans="1:6" ht="28.5">
      <c r="A4" s="3">
        <v>1</v>
      </c>
      <c r="B4" s="14" t="s">
        <v>52</v>
      </c>
      <c r="C4" s="14" t="s">
        <v>53</v>
      </c>
      <c r="D4" s="19" t="s">
        <v>5</v>
      </c>
      <c r="E4" s="14" t="s">
        <v>34</v>
      </c>
      <c r="F4" s="16" t="s">
        <v>54</v>
      </c>
    </row>
    <row r="5" spans="1:6" ht="28.5">
      <c r="A5" s="17">
        <v>2</v>
      </c>
      <c r="B5" s="18" t="s">
        <v>55</v>
      </c>
      <c r="C5" s="18" t="s">
        <v>56</v>
      </c>
      <c r="D5" s="21" t="s">
        <v>6</v>
      </c>
      <c r="E5" s="18" t="s">
        <v>43</v>
      </c>
      <c r="F5" s="20" t="s">
        <v>57</v>
      </c>
    </row>
    <row r="6" spans="1:6" ht="28.5">
      <c r="A6" s="3">
        <v>3</v>
      </c>
      <c r="B6" s="14" t="s">
        <v>58</v>
      </c>
      <c r="C6" s="14" t="s">
        <v>59</v>
      </c>
      <c r="D6" s="21" t="s">
        <v>6</v>
      </c>
      <c r="E6" s="14" t="s">
        <v>60</v>
      </c>
      <c r="F6" s="16" t="s">
        <v>61</v>
      </c>
    </row>
    <row r="7" spans="1:6" ht="28.5">
      <c r="A7" s="17">
        <v>4</v>
      </c>
      <c r="B7" s="18" t="s">
        <v>62</v>
      </c>
      <c r="C7" s="18" t="s">
        <v>63</v>
      </c>
      <c r="D7" s="19" t="s">
        <v>5</v>
      </c>
      <c r="E7" s="18" t="s">
        <v>64</v>
      </c>
      <c r="F7" s="20" t="s">
        <v>65</v>
      </c>
    </row>
    <row r="8" spans="1:6" ht="28.5">
      <c r="A8" s="3">
        <v>5</v>
      </c>
      <c r="B8" s="14" t="s">
        <v>66</v>
      </c>
      <c r="C8" s="14" t="s">
        <v>67</v>
      </c>
      <c r="D8" s="19" t="s">
        <v>5</v>
      </c>
      <c r="E8" s="14" t="s">
        <v>68</v>
      </c>
      <c r="F8" s="16" t="s">
        <v>69</v>
      </c>
    </row>
    <row r="9" spans="1:6" ht="28.5">
      <c r="A9" s="17">
        <v>6</v>
      </c>
      <c r="B9" s="18" t="s">
        <v>70</v>
      </c>
      <c r="C9" s="18" t="s">
        <v>71</v>
      </c>
      <c r="D9" s="19" t="s">
        <v>5</v>
      </c>
      <c r="E9" s="18" t="s">
        <v>72</v>
      </c>
      <c r="F9" s="20" t="s">
        <v>73</v>
      </c>
    </row>
    <row r="10" spans="1:6" ht="28.5">
      <c r="A10" s="3">
        <v>7</v>
      </c>
      <c r="B10" s="14" t="s">
        <v>112</v>
      </c>
      <c r="C10" s="14" t="s">
        <v>74</v>
      </c>
      <c r="D10" s="19" t="s">
        <v>5</v>
      </c>
      <c r="E10" s="14" t="s">
        <v>72</v>
      </c>
      <c r="F10" s="16" t="s">
        <v>75</v>
      </c>
    </row>
    <row r="11" spans="1:6" ht="28.5">
      <c r="A11" s="17">
        <v>8</v>
      </c>
      <c r="B11" s="18" t="s">
        <v>76</v>
      </c>
      <c r="C11" s="18" t="s">
        <v>77</v>
      </c>
      <c r="D11" s="15" t="s">
        <v>19</v>
      </c>
      <c r="E11" s="18" t="s">
        <v>78</v>
      </c>
      <c r="F11" s="20" t="s">
        <v>79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opLeftCell="A4" workbookViewId="0">
      <selection activeCell="F17" sqref="F17"/>
    </sheetView>
  </sheetViews>
  <sheetFormatPr defaultRowHeight="15"/>
  <cols>
    <col min="1" max="1" width="8" customWidth="1"/>
    <col min="2" max="2" width="26" customWidth="1"/>
    <col min="3" max="3" width="38" customWidth="1"/>
    <col min="4" max="4" width="16" customWidth="1"/>
    <col min="5" max="5" width="24" customWidth="1"/>
    <col min="6" max="6" width="48" customWidth="1"/>
  </cols>
  <sheetData>
    <row r="1" spans="1:6" ht="30" customHeight="1">
      <c r="A1" s="31" t="s">
        <v>80</v>
      </c>
      <c r="B1" s="25"/>
      <c r="C1" s="25"/>
      <c r="D1" s="25"/>
      <c r="E1" s="25"/>
      <c r="F1" s="25"/>
    </row>
    <row r="2" spans="1:6" ht="20.100000000000001" customHeight="1">
      <c r="A2" s="30" t="s">
        <v>81</v>
      </c>
      <c r="B2" s="25"/>
      <c r="C2" s="25"/>
      <c r="D2" s="25"/>
      <c r="E2" s="25"/>
      <c r="F2" s="25"/>
    </row>
    <row r="3" spans="1:6" ht="28.5">
      <c r="A3" s="13" t="s">
        <v>23</v>
      </c>
      <c r="B3" s="13" t="s">
        <v>82</v>
      </c>
      <c r="C3" s="13" t="s">
        <v>25</v>
      </c>
      <c r="D3" s="13" t="s">
        <v>26</v>
      </c>
      <c r="E3" s="13" t="s">
        <v>27</v>
      </c>
      <c r="F3" s="13" t="s">
        <v>28</v>
      </c>
    </row>
    <row r="4" spans="1:6">
      <c r="A4" s="3">
        <v>1</v>
      </c>
      <c r="B4" s="14" t="s">
        <v>83</v>
      </c>
      <c r="C4" s="14" t="s">
        <v>84</v>
      </c>
      <c r="D4" s="22" t="s">
        <v>4</v>
      </c>
      <c r="E4" s="14" t="s">
        <v>85</v>
      </c>
      <c r="F4" s="16" t="s">
        <v>86</v>
      </c>
    </row>
    <row r="5" spans="1:6" ht="28.5">
      <c r="A5" s="17">
        <v>2</v>
      </c>
      <c r="B5" s="18" t="s">
        <v>83</v>
      </c>
      <c r="C5" s="18" t="s">
        <v>87</v>
      </c>
      <c r="D5" s="22" t="s">
        <v>4</v>
      </c>
      <c r="E5" s="18" t="s">
        <v>88</v>
      </c>
      <c r="F5" s="20" t="s">
        <v>89</v>
      </c>
    </row>
    <row r="6" spans="1:6" ht="28.5">
      <c r="A6" s="3">
        <v>3</v>
      </c>
      <c r="B6" s="14" t="s">
        <v>83</v>
      </c>
      <c r="C6" s="14" t="s">
        <v>90</v>
      </c>
      <c r="D6" s="22" t="s">
        <v>4</v>
      </c>
      <c r="E6" s="14" t="s">
        <v>91</v>
      </c>
      <c r="F6" s="16" t="s">
        <v>92</v>
      </c>
    </row>
    <row r="7" spans="1:6">
      <c r="A7" s="17">
        <v>4</v>
      </c>
      <c r="B7" s="18" t="s">
        <v>83</v>
      </c>
      <c r="C7" s="18" t="s">
        <v>93</v>
      </c>
      <c r="D7" s="15" t="s">
        <v>19</v>
      </c>
      <c r="E7" s="18" t="s">
        <v>39</v>
      </c>
      <c r="F7" s="20" t="s">
        <v>113</v>
      </c>
    </row>
    <row r="8" spans="1:6" ht="28.5">
      <c r="A8" s="3">
        <v>5</v>
      </c>
      <c r="B8" s="14" t="s">
        <v>94</v>
      </c>
      <c r="C8" s="14" t="s">
        <v>95</v>
      </c>
      <c r="D8" s="19" t="s">
        <v>5</v>
      </c>
      <c r="E8" s="14" t="s">
        <v>96</v>
      </c>
      <c r="F8" s="16" t="s">
        <v>114</v>
      </c>
    </row>
    <row r="9" spans="1:6" ht="28.5">
      <c r="A9" s="17">
        <v>6</v>
      </c>
      <c r="B9" s="18" t="s">
        <v>97</v>
      </c>
      <c r="C9" s="18" t="s">
        <v>98</v>
      </c>
      <c r="D9" s="23" t="s">
        <v>16</v>
      </c>
      <c r="E9" s="18" t="s">
        <v>99</v>
      </c>
      <c r="F9" s="20" t="s">
        <v>100</v>
      </c>
    </row>
    <row r="10" spans="1:6" ht="28.5">
      <c r="A10" s="3">
        <v>7</v>
      </c>
      <c r="B10" s="14" t="s">
        <v>101</v>
      </c>
      <c r="C10" s="14" t="s">
        <v>102</v>
      </c>
      <c r="D10" s="15" t="s">
        <v>19</v>
      </c>
      <c r="E10" s="14" t="s">
        <v>103</v>
      </c>
      <c r="F10" s="16" t="s">
        <v>104</v>
      </c>
    </row>
    <row r="11" spans="1:6" ht="28.5">
      <c r="A11" s="17">
        <v>8</v>
      </c>
      <c r="B11" s="18" t="s">
        <v>101</v>
      </c>
      <c r="C11" s="18" t="s">
        <v>105</v>
      </c>
      <c r="D11" s="19" t="s">
        <v>5</v>
      </c>
      <c r="E11" s="18" t="s">
        <v>106</v>
      </c>
      <c r="F11" s="20" t="s">
        <v>107</v>
      </c>
    </row>
    <row r="12" spans="1:6" ht="28.5">
      <c r="A12" s="3">
        <v>9</v>
      </c>
      <c r="B12" s="14" t="s">
        <v>108</v>
      </c>
      <c r="C12" s="14" t="s">
        <v>109</v>
      </c>
      <c r="D12" s="21" t="s">
        <v>6</v>
      </c>
      <c r="E12" s="14" t="s">
        <v>110</v>
      </c>
      <c r="F12" s="16" t="s">
        <v>111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Fiber Bleaching</vt:lpstr>
      <vt:lpstr>R-Cot Line</vt:lpstr>
      <vt:lpstr>Spunlace 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Kamil Baig</cp:lastModifiedBy>
  <dcterms:created xsi:type="dcterms:W3CDTF">2026-10-19T09:56:20Z</dcterms:created>
  <dcterms:modified xsi:type="dcterms:W3CDTF">2026-10-19T10:43:24Z</dcterms:modified>
</cp:coreProperties>
</file>